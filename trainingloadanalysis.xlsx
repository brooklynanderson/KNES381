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brooklynanderson/Desktop/"/>
    </mc:Choice>
  </mc:AlternateContent>
  <xr:revisionPtr revIDLastSave="0" documentId="8_{A1335C07-17EE-B641-8320-8D137361B81B}" xr6:coauthVersionLast="47" xr6:coauthVersionMax="47" xr10:uidLastSave="{00000000-0000-0000-0000-000000000000}"/>
  <bookViews>
    <workbookView xWindow="0" yWindow="660" windowWidth="25600" windowHeight="15980" activeTab="3" xr2:uid="{0F7EC6E6-0350-AB43-B842-09780AAA44AE}"/>
  </bookViews>
  <sheets>
    <sheet name="PivotTable" sheetId="6" r:id="rId1"/>
    <sheet name="Data" sheetId="1" r:id="rId2"/>
    <sheet name="Ranges" sheetId="2" r:id="rId3"/>
    <sheet name="Dashboard" sheetId="3" r:id="rId4"/>
    <sheet name="Calculator" sheetId="4" r:id="rId5"/>
  </sheets>
  <definedNames>
    <definedName name="Slicer_Athlete">#N/A</definedName>
    <definedName name="Slicer_Session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9" i="1"/>
  <c r="I10" i="1"/>
  <c r="I12" i="1"/>
  <c r="G8" i="1"/>
  <c r="G9" i="1"/>
  <c r="G10" i="1"/>
  <c r="G17" i="1"/>
  <c r="G18" i="1"/>
  <c r="G19" i="1"/>
  <c r="G20" i="1"/>
  <c r="G2" i="1"/>
  <c r="E3" i="1"/>
  <c r="G3" i="1" s="1"/>
  <c r="E4" i="1"/>
  <c r="G4" i="1" s="1"/>
  <c r="E5" i="1"/>
  <c r="G5" i="1" s="1"/>
  <c r="E6" i="1"/>
  <c r="I6" i="1" s="1"/>
  <c r="E7" i="1"/>
  <c r="G7" i="1" s="1"/>
  <c r="E8" i="1"/>
  <c r="I8" i="1" s="1"/>
  <c r="E9" i="1"/>
  <c r="E10" i="1"/>
  <c r="E11" i="1"/>
  <c r="G11" i="1" s="1"/>
  <c r="E12" i="1"/>
  <c r="G12" i="1" s="1"/>
  <c r="E13" i="1"/>
  <c r="I13" i="1" s="1"/>
  <c r="E14" i="1"/>
  <c r="G14" i="1" s="1"/>
  <c r="E15" i="1"/>
  <c r="G15" i="1" s="1"/>
  <c r="E16" i="1"/>
  <c r="I16" i="1" s="1"/>
  <c r="E17" i="1"/>
  <c r="I17" i="1" s="1"/>
  <c r="E18" i="1"/>
  <c r="I18" i="1" s="1"/>
  <c r="E19" i="1"/>
  <c r="I19" i="1" s="1"/>
  <c r="E20" i="1"/>
  <c r="I20" i="1" s="1"/>
  <c r="E21" i="1"/>
  <c r="G21" i="1" s="1"/>
  <c r="E22" i="1"/>
  <c r="I22" i="1" s="1"/>
  <c r="E23" i="1"/>
  <c r="G23" i="1" s="1"/>
  <c r="E24" i="1"/>
  <c r="G24" i="1" s="1"/>
  <c r="E25" i="1"/>
  <c r="G25" i="1" s="1"/>
  <c r="E26" i="1"/>
  <c r="I26" i="1" s="1"/>
  <c r="E2" i="1"/>
  <c r="I2" i="1" s="1"/>
  <c r="G26" i="1" l="1"/>
  <c r="G16" i="1"/>
  <c r="G6" i="1"/>
  <c r="I21" i="1"/>
  <c r="I11" i="1"/>
  <c r="I25" i="1"/>
  <c r="I14" i="1"/>
  <c r="I23" i="1"/>
  <c r="G13" i="1"/>
  <c r="G22" i="1"/>
  <c r="I7" i="1"/>
  <c r="I15" i="1"/>
  <c r="I24" i="1"/>
</calcChain>
</file>

<file path=xl/sharedStrings.xml><?xml version="1.0" encoding="utf-8"?>
<sst xmlns="http://schemas.openxmlformats.org/spreadsheetml/2006/main" count="80" uniqueCount="20">
  <si>
    <t>Athlete</t>
  </si>
  <si>
    <t>Session Type</t>
  </si>
  <si>
    <t>Duration (min)</t>
  </si>
  <si>
    <t>RPE</t>
  </si>
  <si>
    <t>Training Load</t>
  </si>
  <si>
    <t>Recovery (hours)</t>
  </si>
  <si>
    <t>Fatigue Level (%)</t>
  </si>
  <si>
    <t>Injury Risk (%)</t>
  </si>
  <si>
    <t>Load Category</t>
  </si>
  <si>
    <t>Session Types</t>
  </si>
  <si>
    <t>Skate</t>
  </si>
  <si>
    <t>Lift</t>
  </si>
  <si>
    <t>Conditioning</t>
  </si>
  <si>
    <t>Game</t>
  </si>
  <si>
    <t>Recovery</t>
  </si>
  <si>
    <t>Athlete 1</t>
  </si>
  <si>
    <t>Athlete 2</t>
  </si>
  <si>
    <t>Row Labels</t>
  </si>
  <si>
    <t>Grand Total</t>
  </si>
  <si>
    <t>Average of Training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</si>
</sst>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3">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[trainingloadanalysis.xlsx]PivotTable!PivotTable1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solidFill>
                  <a:schemeClr val="tx1"/>
                </a:solidFill>
              </a:rPr>
              <a:t>Average Training Load by Session Type</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31653989452609"/>
          <c:y val="8.5425263602471935E-2"/>
          <c:w val="0.83233776293451756"/>
          <c:h val="0.76324387428894735"/>
        </c:manualLayout>
      </c:layout>
      <c:barChart>
        <c:barDir val="col"/>
        <c:grouping val="clustered"/>
        <c:varyColors val="0"/>
        <c:ser>
          <c:idx val="0"/>
          <c:order val="0"/>
          <c:tx>
            <c:strRef>
              <c:f>PivotTable!$B$3</c:f>
              <c:strCache>
                <c:ptCount val="1"/>
                <c:pt idx="0">
                  <c:v>Total</c:v>
                </c:pt>
              </c:strCache>
            </c:strRef>
          </c:tx>
          <c:spPr>
            <a:solidFill>
              <a:schemeClr val="accent1"/>
            </a:solidFill>
            <a:ln>
              <a:noFill/>
            </a:ln>
            <a:effectLst/>
          </c:spPr>
          <c:invertIfNegative val="0"/>
          <c:cat>
            <c:multiLvlStrRef>
              <c:f>PivotTable!$A$4:$A$16</c:f>
              <c:multiLvlStrCache>
                <c:ptCount val="10"/>
                <c:lvl>
                  <c:pt idx="0">
                    <c:v>Conditioning</c:v>
                  </c:pt>
                  <c:pt idx="1">
                    <c:v>Game</c:v>
                  </c:pt>
                  <c:pt idx="2">
                    <c:v>Lift</c:v>
                  </c:pt>
                  <c:pt idx="3">
                    <c:v>Recovery</c:v>
                  </c:pt>
                  <c:pt idx="4">
                    <c:v>Skate</c:v>
                  </c:pt>
                  <c:pt idx="5">
                    <c:v>Conditioning</c:v>
                  </c:pt>
                  <c:pt idx="6">
                    <c:v>Game</c:v>
                  </c:pt>
                  <c:pt idx="7">
                    <c:v>Lift</c:v>
                  </c:pt>
                  <c:pt idx="8">
                    <c:v>Recovery</c:v>
                  </c:pt>
                  <c:pt idx="9">
                    <c:v>Skate</c:v>
                  </c:pt>
                </c:lvl>
                <c:lvl>
                  <c:pt idx="0">
                    <c:v>Athlete 1</c:v>
                  </c:pt>
                  <c:pt idx="5">
                    <c:v>Athlete 2</c:v>
                  </c:pt>
                </c:lvl>
              </c:multiLvlStrCache>
            </c:multiLvlStrRef>
          </c:cat>
          <c:val>
            <c:numRef>
              <c:f>PivotTable!$B$4:$B$16</c:f>
              <c:numCache>
                <c:formatCode>General</c:formatCode>
                <c:ptCount val="10"/>
                <c:pt idx="0">
                  <c:v>580</c:v>
                </c:pt>
                <c:pt idx="1">
                  <c:v>832.5</c:v>
                </c:pt>
                <c:pt idx="2">
                  <c:v>262.5</c:v>
                </c:pt>
                <c:pt idx="3">
                  <c:v>75</c:v>
                </c:pt>
                <c:pt idx="4">
                  <c:v>411.66666666666669</c:v>
                </c:pt>
                <c:pt idx="5">
                  <c:v>620</c:v>
                </c:pt>
                <c:pt idx="6">
                  <c:v>819</c:v>
                </c:pt>
                <c:pt idx="7">
                  <c:v>285</c:v>
                </c:pt>
                <c:pt idx="8">
                  <c:v>80</c:v>
                </c:pt>
                <c:pt idx="9">
                  <c:v>431.66666666666669</c:v>
                </c:pt>
              </c:numCache>
            </c:numRef>
          </c:val>
          <c:extLst>
            <c:ext xmlns:c16="http://schemas.microsoft.com/office/drawing/2014/chart" uri="{C3380CC4-5D6E-409C-BE32-E72D297353CC}">
              <c16:uniqueId val="{00000000-1126-C741-8FEA-D3D76D701881}"/>
            </c:ext>
          </c:extLst>
        </c:ser>
        <c:dLbls>
          <c:showLegendKey val="0"/>
          <c:showVal val="0"/>
          <c:showCatName val="0"/>
          <c:showSerName val="0"/>
          <c:showPercent val="0"/>
          <c:showBubbleSize val="0"/>
        </c:dLbls>
        <c:gapWidth val="219"/>
        <c:overlap val="-27"/>
        <c:axId val="1134088943"/>
        <c:axId val="1133636895"/>
      </c:barChart>
      <c:catAx>
        <c:axId val="1134088943"/>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Session </a:t>
                </a:r>
                <a:r>
                  <a:rPr lang="en-US" sz="1200" b="1" baseline="0">
                    <a:solidFill>
                      <a:schemeClr val="tx1"/>
                    </a:solidFill>
                  </a:rPr>
                  <a:t> Type</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36895"/>
        <c:crosses val="autoZero"/>
        <c:auto val="1"/>
        <c:lblAlgn val="ctr"/>
        <c:lblOffset val="100"/>
        <c:noMultiLvlLbl val="0"/>
      </c:catAx>
      <c:valAx>
        <c:axId val="1133636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Training Load (AU)</a:t>
                </a:r>
                <a:endParaRPr lang="en-US" sz="1200" b="1">
                  <a:solidFill>
                    <a:schemeClr val="tx1"/>
                  </a:solidFill>
                </a:endParaRPr>
              </a:p>
            </c:rich>
          </c:tx>
          <c:layout>
            <c:manualLayout>
              <c:xMode val="edge"/>
              <c:yMode val="edge"/>
              <c:x val="1.0732037243778435E-2"/>
              <c:y val="0.3497345270650465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08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[trainingloadanalysis.xlsx]PivotTable!PivotTable1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solidFill>
                  <a:schemeClr val="tx1"/>
                </a:solidFill>
              </a:rPr>
              <a:t>Average Training Load by Session Type</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31653989452609"/>
          <c:y val="8.5425263602471935E-2"/>
          <c:w val="0.83233776293451756"/>
          <c:h val="0.76324387428894735"/>
        </c:manualLayout>
      </c:layout>
      <c:barChart>
        <c:barDir val="col"/>
        <c:grouping val="clustered"/>
        <c:varyColors val="0"/>
        <c:ser>
          <c:idx val="0"/>
          <c:order val="0"/>
          <c:tx>
            <c:strRef>
              <c:f>PivotTable!$B$3</c:f>
              <c:strCache>
                <c:ptCount val="1"/>
                <c:pt idx="0">
                  <c:v>Total</c:v>
                </c:pt>
              </c:strCache>
            </c:strRef>
          </c:tx>
          <c:spPr>
            <a:solidFill>
              <a:schemeClr val="accent1"/>
            </a:solidFill>
            <a:ln>
              <a:noFill/>
            </a:ln>
            <a:effectLst/>
          </c:spPr>
          <c:invertIfNegative val="0"/>
          <c:cat>
            <c:multiLvlStrRef>
              <c:f>PivotTable!$A$4:$A$16</c:f>
              <c:multiLvlStrCache>
                <c:ptCount val="10"/>
                <c:lvl>
                  <c:pt idx="0">
                    <c:v>Conditioning</c:v>
                  </c:pt>
                  <c:pt idx="1">
                    <c:v>Game</c:v>
                  </c:pt>
                  <c:pt idx="2">
                    <c:v>Lift</c:v>
                  </c:pt>
                  <c:pt idx="3">
                    <c:v>Recovery</c:v>
                  </c:pt>
                  <c:pt idx="4">
                    <c:v>Skate</c:v>
                  </c:pt>
                  <c:pt idx="5">
                    <c:v>Conditioning</c:v>
                  </c:pt>
                  <c:pt idx="6">
                    <c:v>Game</c:v>
                  </c:pt>
                  <c:pt idx="7">
                    <c:v>Lift</c:v>
                  </c:pt>
                  <c:pt idx="8">
                    <c:v>Recovery</c:v>
                  </c:pt>
                  <c:pt idx="9">
                    <c:v>Skate</c:v>
                  </c:pt>
                </c:lvl>
                <c:lvl>
                  <c:pt idx="0">
                    <c:v>Athlete 1</c:v>
                  </c:pt>
                  <c:pt idx="5">
                    <c:v>Athlete 2</c:v>
                  </c:pt>
                </c:lvl>
              </c:multiLvlStrCache>
            </c:multiLvlStrRef>
          </c:cat>
          <c:val>
            <c:numRef>
              <c:f>PivotTable!$B$4:$B$16</c:f>
              <c:numCache>
                <c:formatCode>General</c:formatCode>
                <c:ptCount val="10"/>
                <c:pt idx="0">
                  <c:v>580</c:v>
                </c:pt>
                <c:pt idx="1">
                  <c:v>832.5</c:v>
                </c:pt>
                <c:pt idx="2">
                  <c:v>262.5</c:v>
                </c:pt>
                <c:pt idx="3">
                  <c:v>75</c:v>
                </c:pt>
                <c:pt idx="4">
                  <c:v>411.66666666666669</c:v>
                </c:pt>
                <c:pt idx="5">
                  <c:v>620</c:v>
                </c:pt>
                <c:pt idx="6">
                  <c:v>819</c:v>
                </c:pt>
                <c:pt idx="7">
                  <c:v>285</c:v>
                </c:pt>
                <c:pt idx="8">
                  <c:v>80</c:v>
                </c:pt>
                <c:pt idx="9">
                  <c:v>431.66666666666669</c:v>
                </c:pt>
              </c:numCache>
            </c:numRef>
          </c:val>
          <c:extLst>
            <c:ext xmlns:c16="http://schemas.microsoft.com/office/drawing/2014/chart" uri="{C3380CC4-5D6E-409C-BE32-E72D297353CC}">
              <c16:uniqueId val="{00000000-7E0B-094C-A1F3-D5C1DE3D2F2B}"/>
            </c:ext>
          </c:extLst>
        </c:ser>
        <c:dLbls>
          <c:showLegendKey val="0"/>
          <c:showVal val="0"/>
          <c:showCatName val="0"/>
          <c:showSerName val="0"/>
          <c:showPercent val="0"/>
          <c:showBubbleSize val="0"/>
        </c:dLbls>
        <c:gapWidth val="219"/>
        <c:overlap val="-27"/>
        <c:axId val="1134088943"/>
        <c:axId val="1133636895"/>
      </c:barChart>
      <c:catAx>
        <c:axId val="1134088943"/>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Session </a:t>
                </a:r>
                <a:r>
                  <a:rPr lang="en-US" sz="1200" b="1" baseline="0">
                    <a:solidFill>
                      <a:schemeClr val="tx1"/>
                    </a:solidFill>
                  </a:rPr>
                  <a:t> Type</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36895"/>
        <c:crosses val="autoZero"/>
        <c:auto val="1"/>
        <c:lblAlgn val="ctr"/>
        <c:lblOffset val="100"/>
        <c:noMultiLvlLbl val="0"/>
      </c:catAx>
      <c:valAx>
        <c:axId val="1133636895"/>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Training Load (AU)</a:t>
                </a:r>
                <a:endParaRPr lang="en-US" sz="1200" b="1">
                  <a:solidFill>
                    <a:schemeClr val="tx1"/>
                  </a:solidFill>
                </a:endParaRPr>
              </a:p>
            </c:rich>
          </c:tx>
          <c:layout>
            <c:manualLayout>
              <c:xMode val="edge"/>
              <c:yMode val="edge"/>
              <c:x val="1.0732037243778435E-2"/>
              <c:y val="0.3497345270650465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08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660400</xdr:colOff>
      <xdr:row>2</xdr:row>
      <xdr:rowOff>0</xdr:rowOff>
    </xdr:from>
    <xdr:to>
      <xdr:col>7</xdr:col>
      <xdr:colOff>12699</xdr:colOff>
      <xdr:row>14</xdr:row>
      <xdr:rowOff>180972</xdr:rowOff>
    </xdr:to>
    <mc:AlternateContent xmlns:mc="http://schemas.openxmlformats.org/markup-compatibility/2006" xmlns:a14="http://schemas.microsoft.com/office/drawing/2010/main">
      <mc:Choice Requires="a14">
        <xdr:graphicFrame macro="">
          <xdr:nvGraphicFramePr>
            <xdr:cNvPr id="2" name="Athlete">
              <a:extLst>
                <a:ext uri="{FF2B5EF4-FFF2-40B4-BE49-F238E27FC236}">
                  <a16:creationId xmlns:a16="http://schemas.microsoft.com/office/drawing/2014/main" id="{F73F4C5F-E56E-E6B5-0700-E52A7A360674}"/>
                </a:ext>
              </a:extLst>
            </xdr:cNvPr>
            <xdr:cNvGraphicFramePr/>
          </xdr:nvGraphicFramePr>
          <xdr:xfrm>
            <a:off x="0" y="0"/>
            <a:ext cx="0" cy="0"/>
          </xdr:xfrm>
          <a:graphic>
            <a:graphicData uri="http://schemas.microsoft.com/office/drawing/2010/slicer">
              <sle:slicer xmlns:sle="http://schemas.microsoft.com/office/drawing/2010/slicer" name="Athlete"/>
            </a:graphicData>
          </a:graphic>
        </xdr:graphicFrame>
      </mc:Choice>
      <mc:Fallback xmlns="">
        <xdr:sp macro="" textlink="">
          <xdr:nvSpPr>
            <xdr:cNvPr id="0" name=""/>
            <xdr:cNvSpPr>
              <a:spLocks noTextEdit="1"/>
            </xdr:cNvSpPr>
          </xdr:nvSpPr>
          <xdr:spPr>
            <a:xfrm>
              <a:off x="6384878" y="417015"/>
              <a:ext cx="1854389" cy="2683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2</xdr:row>
      <xdr:rowOff>0</xdr:rowOff>
    </xdr:from>
    <xdr:to>
      <xdr:col>9</xdr:col>
      <xdr:colOff>177800</xdr:colOff>
      <xdr:row>14</xdr:row>
      <xdr:rowOff>180972</xdr:rowOff>
    </xdr:to>
    <mc:AlternateContent xmlns:mc="http://schemas.openxmlformats.org/markup-compatibility/2006" xmlns:a14="http://schemas.microsoft.com/office/drawing/2010/main">
      <mc:Choice Requires="a14">
        <xdr:graphicFrame macro="">
          <xdr:nvGraphicFramePr>
            <xdr:cNvPr id="3" name="Session Type">
              <a:extLst>
                <a:ext uri="{FF2B5EF4-FFF2-40B4-BE49-F238E27FC236}">
                  <a16:creationId xmlns:a16="http://schemas.microsoft.com/office/drawing/2014/main" id="{079DC076-025E-4C31-F45C-014E72A225F7}"/>
                </a:ext>
              </a:extLst>
            </xdr:cNvPr>
            <xdr:cNvGraphicFramePr/>
          </xdr:nvGraphicFramePr>
          <xdr:xfrm>
            <a:off x="0" y="0"/>
            <a:ext cx="0" cy="0"/>
          </xdr:xfrm>
          <a:graphic>
            <a:graphicData uri="http://schemas.microsoft.com/office/drawing/2010/slicer">
              <sle:slicer xmlns:sle="http://schemas.microsoft.com/office/drawing/2010/slicer" name="Session Type"/>
            </a:graphicData>
          </a:graphic>
        </xdr:graphicFrame>
      </mc:Choice>
      <mc:Fallback xmlns="">
        <xdr:sp macro="" textlink="">
          <xdr:nvSpPr>
            <xdr:cNvPr id="0" name=""/>
            <xdr:cNvSpPr>
              <a:spLocks noTextEdit="1"/>
            </xdr:cNvSpPr>
          </xdr:nvSpPr>
          <xdr:spPr>
            <a:xfrm>
              <a:off x="6946900" y="406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19</xdr:row>
      <xdr:rowOff>12700</xdr:rowOff>
    </xdr:from>
    <xdr:to>
      <xdr:col>6</xdr:col>
      <xdr:colOff>0</xdr:colOff>
      <xdr:row>40</xdr:row>
      <xdr:rowOff>151641</xdr:rowOff>
    </xdr:to>
    <xdr:graphicFrame macro="">
      <xdr:nvGraphicFramePr>
        <xdr:cNvPr id="4" name="Chart 3">
          <a:extLst>
            <a:ext uri="{FF2B5EF4-FFF2-40B4-BE49-F238E27FC236}">
              <a16:creationId xmlns:a16="http://schemas.microsoft.com/office/drawing/2014/main" id="{39827896-A84E-0670-7BA2-46D8975AA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12</xdr:row>
      <xdr:rowOff>12700</xdr:rowOff>
    </xdr:from>
    <xdr:to>
      <xdr:col>12</xdr:col>
      <xdr:colOff>410307</xdr:colOff>
      <xdr:row>38</xdr:row>
      <xdr:rowOff>136769</xdr:rowOff>
    </xdr:to>
    <xdr:graphicFrame macro="">
      <xdr:nvGraphicFramePr>
        <xdr:cNvPr id="2" name="Chart 1">
          <a:extLst>
            <a:ext uri="{FF2B5EF4-FFF2-40B4-BE49-F238E27FC236}">
              <a16:creationId xmlns:a16="http://schemas.microsoft.com/office/drawing/2014/main" id="{5B7E0D0B-DA3E-864E-B05C-23A4490AE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xdr:colOff>
      <xdr:row>1</xdr:row>
      <xdr:rowOff>0</xdr:rowOff>
    </xdr:from>
    <xdr:to>
      <xdr:col>7</xdr:col>
      <xdr:colOff>39077</xdr:colOff>
      <xdr:row>9</xdr:row>
      <xdr:rowOff>19539</xdr:rowOff>
    </xdr:to>
    <mc:AlternateContent xmlns:mc="http://schemas.openxmlformats.org/markup-compatibility/2006" xmlns:a14="http://schemas.microsoft.com/office/drawing/2010/main">
      <mc:Choice Requires="a14">
        <xdr:graphicFrame macro="">
          <xdr:nvGraphicFramePr>
            <xdr:cNvPr id="3" name="Athlete 1">
              <a:extLst>
                <a:ext uri="{FF2B5EF4-FFF2-40B4-BE49-F238E27FC236}">
                  <a16:creationId xmlns:a16="http://schemas.microsoft.com/office/drawing/2014/main" id="{70B108DB-2531-C645-B681-6924164651D6}"/>
                </a:ext>
              </a:extLst>
            </xdr:cNvPr>
            <xdr:cNvGraphicFramePr/>
          </xdr:nvGraphicFramePr>
          <xdr:xfrm>
            <a:off x="0" y="0"/>
            <a:ext cx="0" cy="0"/>
          </xdr:xfrm>
          <a:graphic>
            <a:graphicData uri="http://schemas.microsoft.com/office/drawing/2010/slicer">
              <sle:slicer xmlns:sle="http://schemas.microsoft.com/office/drawing/2010/slicer" name="Athlete 1"/>
            </a:graphicData>
          </a:graphic>
        </xdr:graphicFrame>
      </mc:Choice>
      <mc:Fallback xmlns="">
        <xdr:sp macro="" textlink="">
          <xdr:nvSpPr>
            <xdr:cNvPr id="0" name=""/>
            <xdr:cNvSpPr>
              <a:spLocks noTextEdit="1"/>
            </xdr:cNvSpPr>
          </xdr:nvSpPr>
          <xdr:spPr>
            <a:xfrm>
              <a:off x="1641230" y="195385"/>
              <a:ext cx="4142155" cy="1582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xdr:row>
      <xdr:rowOff>19538</xdr:rowOff>
    </xdr:from>
    <xdr:to>
      <xdr:col>13</xdr:col>
      <xdr:colOff>78154</xdr:colOff>
      <xdr:row>9</xdr:row>
      <xdr:rowOff>39076</xdr:rowOff>
    </xdr:to>
    <mc:AlternateContent xmlns:mc="http://schemas.openxmlformats.org/markup-compatibility/2006" xmlns:a14="http://schemas.microsoft.com/office/drawing/2010/main">
      <mc:Choice Requires="a14">
        <xdr:graphicFrame macro="">
          <xdr:nvGraphicFramePr>
            <xdr:cNvPr id="4" name="Session Type 1">
              <a:extLst>
                <a:ext uri="{FF2B5EF4-FFF2-40B4-BE49-F238E27FC236}">
                  <a16:creationId xmlns:a16="http://schemas.microsoft.com/office/drawing/2014/main" id="{30F73BDC-EDC1-0F4C-AEFA-082D902BB72B}"/>
                </a:ext>
              </a:extLst>
            </xdr:cNvPr>
            <xdr:cNvGraphicFramePr/>
          </xdr:nvGraphicFramePr>
          <xdr:xfrm>
            <a:off x="0" y="0"/>
            <a:ext cx="0" cy="0"/>
          </xdr:xfrm>
          <a:graphic>
            <a:graphicData uri="http://schemas.microsoft.com/office/drawing/2010/slicer">
              <sle:slicer xmlns:sle="http://schemas.microsoft.com/office/drawing/2010/slicer" name="Session Type 1"/>
            </a:graphicData>
          </a:graphic>
        </xdr:graphicFrame>
      </mc:Choice>
      <mc:Fallback xmlns="">
        <xdr:sp macro="" textlink="">
          <xdr:nvSpPr>
            <xdr:cNvPr id="0" name=""/>
            <xdr:cNvSpPr>
              <a:spLocks noTextEdit="1"/>
            </xdr:cNvSpPr>
          </xdr:nvSpPr>
          <xdr:spPr>
            <a:xfrm>
              <a:off x="6564923" y="214923"/>
              <a:ext cx="4181231" cy="1582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oklyn Anderson" refreshedDate="46119.720535879627" createdVersion="8" refreshedVersion="8" minRefreshableVersion="3" recordCount="25" xr:uid="{5BBD17E0-0632-7F43-B8CB-A14DFFE526DF}">
  <cacheSource type="worksheet">
    <worksheetSource ref="A1:I26" sheet="Data"/>
  </cacheSource>
  <cacheFields count="9">
    <cacheField name="Athlete" numFmtId="0">
      <sharedItems count="2">
        <s v="Athlete 1"/>
        <s v="Athlete 2"/>
      </sharedItems>
    </cacheField>
    <cacheField name="Session Type" numFmtId="0">
      <sharedItems count="5">
        <s v="Skate"/>
        <s v="Lift"/>
        <s v="Conditioning"/>
        <s v="Recovery"/>
        <s v="Game"/>
      </sharedItems>
    </cacheField>
    <cacheField name="Duration (min)" numFmtId="0">
      <sharedItems containsSemiMixedTypes="0" containsString="0" containsNumber="1" containsInteger="1" minValue="30" maxValue="95"/>
    </cacheField>
    <cacheField name="RPE" numFmtId="0">
      <sharedItems containsSemiMixedTypes="0" containsString="0" containsNumber="1" containsInteger="1" minValue="2" maxValue="9"/>
    </cacheField>
    <cacheField name="Training Load" numFmtId="0">
      <sharedItems containsSemiMixedTypes="0" containsString="0" containsNumber="1" containsInteger="1" minValue="60" maxValue="855"/>
    </cacheField>
    <cacheField name="Recovery (hours)" numFmtId="0">
      <sharedItems containsSemiMixedTypes="0" containsString="0" containsNumber="1" minValue="5.5" maxValue="9"/>
    </cacheField>
    <cacheField name="Fatigue Level (%)" numFmtId="0">
      <sharedItems containsSemiMixedTypes="0" containsString="0" containsNumber="1" minValue="66.666666666666671" maxValue="1505.4545454545453"/>
    </cacheField>
    <cacheField name="Injury Risk (%)" numFmtId="0">
      <sharedItems containsSemiMixedTypes="0" containsString="0" containsNumber="1" containsInteger="1" minValue="5" maxValue="21"/>
    </cacheField>
    <cacheField name="Load Category" numFmtId="0">
      <sharedItems/>
    </cacheField>
  </cacheFields>
  <extLst>
    <ext xmlns:x14="http://schemas.microsoft.com/office/spreadsheetml/2009/9/main" uri="{725AE2AE-9491-48be-B2B4-4EB974FC3084}">
      <x14:pivotCacheDefinition pivotCacheId="1910679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n v="60"/>
    <n v="6"/>
    <n v="360"/>
    <n v="8"/>
    <n v="450"/>
    <n v="9"/>
    <s v="Moderate"/>
  </r>
  <r>
    <x v="1"/>
    <x v="0"/>
    <n v="60"/>
    <n v="7"/>
    <n v="420"/>
    <n v="7.5"/>
    <n v="560"/>
    <n v="11"/>
    <s v="Moderate"/>
  </r>
  <r>
    <x v="0"/>
    <x v="1"/>
    <n v="50"/>
    <n v="6"/>
    <n v="300"/>
    <n v="7.5"/>
    <n v="400"/>
    <n v="10"/>
    <s v="Low"/>
  </r>
  <r>
    <x v="1"/>
    <x v="1"/>
    <n v="45"/>
    <n v="6"/>
    <n v="270"/>
    <n v="7"/>
    <n v="385.71428571428567"/>
    <n v="10"/>
    <s v="Low"/>
  </r>
  <r>
    <x v="0"/>
    <x v="2"/>
    <n v="70"/>
    <n v="8"/>
    <n v="560"/>
    <n v="6.5"/>
    <n v="861.53846153846166"/>
    <n v="15"/>
    <s v="Moderate"/>
  </r>
  <r>
    <x v="1"/>
    <x v="2"/>
    <n v="75"/>
    <n v="8"/>
    <n v="600"/>
    <n v="6"/>
    <n v="1000"/>
    <n v="16"/>
    <s v="Moderate"/>
  </r>
  <r>
    <x v="0"/>
    <x v="3"/>
    <n v="30"/>
    <n v="3"/>
    <n v="90"/>
    <n v="9"/>
    <n v="100"/>
    <n v="5"/>
    <s v="Low"/>
  </r>
  <r>
    <x v="1"/>
    <x v="3"/>
    <n v="30"/>
    <n v="3"/>
    <n v="90"/>
    <n v="8.5"/>
    <n v="105.88235294117646"/>
    <n v="6"/>
    <s v="Low"/>
  </r>
  <r>
    <x v="0"/>
    <x v="0"/>
    <n v="65"/>
    <n v="7"/>
    <n v="455"/>
    <n v="7.5"/>
    <n v="606.66666666666663"/>
    <n v="11"/>
    <s v="Moderate"/>
  </r>
  <r>
    <x v="1"/>
    <x v="0"/>
    <n v="60"/>
    <n v="7"/>
    <n v="420"/>
    <n v="7"/>
    <n v="600"/>
    <n v="12"/>
    <s v="Moderate"/>
  </r>
  <r>
    <x v="0"/>
    <x v="4"/>
    <n v="90"/>
    <n v="9"/>
    <n v="810"/>
    <n v="6"/>
    <n v="1350"/>
    <n v="19"/>
    <s v="High"/>
  </r>
  <r>
    <x v="1"/>
    <x v="4"/>
    <n v="92"/>
    <n v="9"/>
    <n v="828"/>
    <n v="5.5"/>
    <n v="1505.4545454545453"/>
    <n v="20"/>
    <s v="High"/>
  </r>
  <r>
    <x v="0"/>
    <x v="3"/>
    <n v="30"/>
    <n v="2"/>
    <n v="60"/>
    <n v="9"/>
    <n v="66.666666666666671"/>
    <n v="6"/>
    <s v="Low"/>
  </r>
  <r>
    <x v="1"/>
    <x v="3"/>
    <n v="30"/>
    <n v="2"/>
    <n v="60"/>
    <n v="8.5"/>
    <n v="70.588235294117652"/>
    <n v="7"/>
    <s v="Low"/>
  </r>
  <r>
    <x v="0"/>
    <x v="1"/>
    <n v="45"/>
    <n v="5"/>
    <n v="225"/>
    <n v="8"/>
    <n v="281.25"/>
    <n v="8"/>
    <s v="Low"/>
  </r>
  <r>
    <x v="1"/>
    <x v="1"/>
    <n v="50"/>
    <n v="6"/>
    <n v="300"/>
    <n v="7.5"/>
    <n v="400"/>
    <n v="10"/>
    <s v="Low"/>
  </r>
  <r>
    <x v="0"/>
    <x v="0"/>
    <n v="60"/>
    <n v="7"/>
    <n v="420"/>
    <n v="7.5"/>
    <n v="560"/>
    <n v="11"/>
    <s v="Moderate"/>
  </r>
  <r>
    <x v="1"/>
    <x v="0"/>
    <n v="65"/>
    <n v="7"/>
    <n v="455"/>
    <n v="7"/>
    <n v="650"/>
    <n v="12"/>
    <s v="Moderate"/>
  </r>
  <r>
    <x v="0"/>
    <x v="2"/>
    <n v="75"/>
    <n v="8"/>
    <n v="600"/>
    <n v="6.5"/>
    <n v="923.07692307692309"/>
    <n v="16"/>
    <s v="Moderate"/>
  </r>
  <r>
    <x v="1"/>
    <x v="2"/>
    <n v="80"/>
    <n v="8"/>
    <n v="640"/>
    <n v="6"/>
    <n v="1066.6666666666667"/>
    <n v="17"/>
    <s v="High"/>
  </r>
  <r>
    <x v="0"/>
    <x v="3"/>
    <n v="30"/>
    <n v="3"/>
    <n v="90"/>
    <n v="9"/>
    <n v="100"/>
    <n v="5"/>
    <s v="Low"/>
  </r>
  <r>
    <x v="1"/>
    <x v="3"/>
    <n v="30"/>
    <n v="3"/>
    <n v="90"/>
    <n v="8.5"/>
    <n v="105.88235294117646"/>
    <n v="6"/>
    <s v="Low"/>
  </r>
  <r>
    <x v="0"/>
    <x v="4"/>
    <n v="95"/>
    <n v="9"/>
    <n v="855"/>
    <n v="6"/>
    <n v="1425"/>
    <n v="20"/>
    <s v="High"/>
  </r>
  <r>
    <x v="1"/>
    <x v="4"/>
    <n v="90"/>
    <n v="9"/>
    <n v="810"/>
    <n v="5.5"/>
    <n v="1472.7272727272727"/>
    <n v="21"/>
    <s v="High"/>
  </r>
  <r>
    <x v="0"/>
    <x v="3"/>
    <n v="30"/>
    <n v="2"/>
    <n v="60"/>
    <n v="9"/>
    <n v="66.666666666666671"/>
    <n v="6"/>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DA453C-B68C-8E47-AB72-A4AF5C3645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9">
    <pivotField axis="axisRow" showAll="0">
      <items count="3">
        <item x="0"/>
        <item x="1"/>
        <item t="default"/>
      </items>
    </pivotField>
    <pivotField axis="axisRow" showAll="0">
      <items count="6">
        <item x="2"/>
        <item x="4"/>
        <item x="1"/>
        <item x="3"/>
        <item x="0"/>
        <item t="default"/>
      </items>
    </pivotField>
    <pivotField showAll="0"/>
    <pivotField showAll="0"/>
    <pivotField dataField="1" showAll="0"/>
    <pivotField showAll="0"/>
    <pivotField showAll="0"/>
    <pivotField showAll="0"/>
    <pivotField showAll="0"/>
  </pivotFields>
  <rowFields count="2">
    <field x="0"/>
    <field x="1"/>
  </rowFields>
  <rowItems count="13">
    <i>
      <x/>
    </i>
    <i r="1">
      <x/>
    </i>
    <i r="1">
      <x v="1"/>
    </i>
    <i r="1">
      <x v="2"/>
    </i>
    <i r="1">
      <x v="3"/>
    </i>
    <i r="1">
      <x v="4"/>
    </i>
    <i>
      <x v="1"/>
    </i>
    <i r="1">
      <x/>
    </i>
    <i r="1">
      <x v="1"/>
    </i>
    <i r="1">
      <x v="2"/>
    </i>
    <i r="1">
      <x v="3"/>
    </i>
    <i r="1">
      <x v="4"/>
    </i>
    <i t="grand">
      <x/>
    </i>
  </rowItems>
  <colItems count="1">
    <i/>
  </colItems>
  <dataFields count="1">
    <dataField name="Average of Training Load" fld="4" subtotal="average" baseField="0" baseItem="0"/>
  </dataFields>
  <chartFormats count="2">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hlete" xr10:uid="{FEBC1310-D22E-F442-8924-153A0B2CF9FA}" sourceName="Athlete">
  <pivotTables>
    <pivotTable tabId="6" name="PivotTable1"/>
  </pivotTables>
  <data>
    <tabular pivotCacheId="191067933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Type" xr10:uid="{9967F2E0-EF76-6F4D-B626-B460F5869152}" sourceName="Session Type">
  <pivotTables>
    <pivotTable tabId="6" name="PivotTable1"/>
  </pivotTables>
  <data>
    <tabular pivotCacheId="1910679336">
      <items count="5">
        <i x="2"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hlete" xr10:uid="{8F5291CE-5224-7049-B03A-FB03BB8DA8BB}" cache="Slicer_Athlete" caption="Athlete" style="SlicerStyleOther2" rowHeight="251883"/>
  <slicer name="Session Type" xr10:uid="{1D02C209-90DB-DA49-8C67-3D0E4A1C6BFD}" cache="Slicer_Session_Type" caption="Session Type" style="SlicerStyleOther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hlete 1" xr10:uid="{201BCFA6-DA00-1A45-8AA5-A3DD44967EA9}" cache="Slicer_Athlete" caption="Athlete" style="SlicerStyleDark4" rowHeight="251883"/>
  <slicer name="Session Type 1" xr10:uid="{1D76F50B-1E6E-0F41-A2B1-1E82E52D7417}" cache="Slicer_Session_Type" caption="Session Type" style="SlicerStyleDark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6A91B3-8421-D945-8DF1-5694207419B2}" name="AthleteData" displayName="AthleteData" ref="A1:I26" totalsRowShown="0">
  <autoFilter ref="A1:I26" xr:uid="{7D6A91B3-8421-D945-8DF1-5694207419B2}"/>
  <tableColumns count="9">
    <tableColumn id="1" xr3:uid="{3F1F11CE-599E-7B44-95E3-2EB3EA41C3E3}" name="Athlete"/>
    <tableColumn id="2" xr3:uid="{F0A791FD-CA62-7B44-A42A-5A685E308AEB}" name="Session Type"/>
    <tableColumn id="3" xr3:uid="{0D62E214-DE90-3143-B668-BAD346A917F9}" name="Duration (min)"/>
    <tableColumn id="4" xr3:uid="{1B04087B-2D08-794E-B977-4071BC2B7551}" name="RPE"/>
    <tableColumn id="5" xr3:uid="{C5ABCCE7-CA8E-3546-B5B7-0F273D7384EE}" name="Training Load">
      <calculatedColumnFormula>C2*D2</calculatedColumnFormula>
    </tableColumn>
    <tableColumn id="6" xr3:uid="{81FD5C43-CE16-9F4E-A520-DEF60DAEF7D8}" name="Recovery (hours)"/>
    <tableColumn id="7" xr3:uid="{170F17F9-0F22-4548-8942-780FACAB1304}" name="Fatigue Level (%)">
      <calculatedColumnFormula>(E2/F2)*10</calculatedColumnFormula>
    </tableColumn>
    <tableColumn id="8" xr3:uid="{E15328A5-BB8F-AD49-B3F1-005AB836E47D}" name="Injury Risk (%)"/>
    <tableColumn id="9" xr3:uid="{F69D439C-3A26-104B-B6DA-8EA85AE980D5}" name="Load Category">
      <calculatedColumnFormula>IF(E2&gt;600,"High",IF(E2&gt;300,"Moderate","Low"))</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5107B-5D98-5944-B087-A139773BDD90}">
  <dimension ref="A3:B16"/>
  <sheetViews>
    <sheetView zoomScale="67" workbookViewId="0">
      <selection activeCell="A5" sqref="A5"/>
    </sheetView>
  </sheetViews>
  <sheetFormatPr baseColWidth="10" defaultRowHeight="16" x14ac:dyDescent="0.2"/>
  <cols>
    <col min="1" max="1" width="14.6640625" bestFit="1" customWidth="1"/>
    <col min="2" max="4" width="20.33203125" bestFit="1" customWidth="1"/>
  </cols>
  <sheetData>
    <row r="3" spans="1:2" x14ac:dyDescent="0.2">
      <c r="A3" s="1" t="s">
        <v>17</v>
      </c>
      <c r="B3" t="s">
        <v>19</v>
      </c>
    </row>
    <row r="4" spans="1:2" x14ac:dyDescent="0.2">
      <c r="A4" s="2" t="s">
        <v>15</v>
      </c>
      <c r="B4" s="3">
        <v>375.76923076923077</v>
      </c>
    </row>
    <row r="5" spans="1:2" x14ac:dyDescent="0.2">
      <c r="A5" s="4" t="s">
        <v>12</v>
      </c>
      <c r="B5" s="3">
        <v>580</v>
      </c>
    </row>
    <row r="6" spans="1:2" x14ac:dyDescent="0.2">
      <c r="A6" s="4" t="s">
        <v>13</v>
      </c>
      <c r="B6" s="3">
        <v>832.5</v>
      </c>
    </row>
    <row r="7" spans="1:2" x14ac:dyDescent="0.2">
      <c r="A7" s="4" t="s">
        <v>11</v>
      </c>
      <c r="B7" s="3">
        <v>262.5</v>
      </c>
    </row>
    <row r="8" spans="1:2" x14ac:dyDescent="0.2">
      <c r="A8" s="4" t="s">
        <v>14</v>
      </c>
      <c r="B8" s="3">
        <v>75</v>
      </c>
    </row>
    <row r="9" spans="1:2" x14ac:dyDescent="0.2">
      <c r="A9" s="4" t="s">
        <v>10</v>
      </c>
      <c r="B9" s="3">
        <v>411.66666666666669</v>
      </c>
    </row>
    <row r="10" spans="1:2" x14ac:dyDescent="0.2">
      <c r="A10" s="2" t="s">
        <v>16</v>
      </c>
      <c r="B10" s="3">
        <v>415.25</v>
      </c>
    </row>
    <row r="11" spans="1:2" x14ac:dyDescent="0.2">
      <c r="A11" s="4" t="s">
        <v>12</v>
      </c>
      <c r="B11" s="3">
        <v>620</v>
      </c>
    </row>
    <row r="12" spans="1:2" x14ac:dyDescent="0.2">
      <c r="A12" s="4" t="s">
        <v>13</v>
      </c>
      <c r="B12" s="3">
        <v>819</v>
      </c>
    </row>
    <row r="13" spans="1:2" x14ac:dyDescent="0.2">
      <c r="A13" s="4" t="s">
        <v>11</v>
      </c>
      <c r="B13" s="3">
        <v>285</v>
      </c>
    </row>
    <row r="14" spans="1:2" x14ac:dyDescent="0.2">
      <c r="A14" s="4" t="s">
        <v>14</v>
      </c>
      <c r="B14" s="3">
        <v>80</v>
      </c>
    </row>
    <row r="15" spans="1:2" x14ac:dyDescent="0.2">
      <c r="A15" s="4" t="s">
        <v>10</v>
      </c>
      <c r="B15" s="3">
        <v>431.66666666666669</v>
      </c>
    </row>
    <row r="16" spans="1:2" x14ac:dyDescent="0.2">
      <c r="A16" s="2" t="s">
        <v>18</v>
      </c>
      <c r="B16" s="3">
        <v>394.72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DFED9-AB43-7641-BC40-BDB4A087BF63}">
  <dimension ref="A1:I26"/>
  <sheetViews>
    <sheetView workbookViewId="0">
      <selection activeCell="G4" sqref="G4"/>
    </sheetView>
  </sheetViews>
  <sheetFormatPr baseColWidth="10" defaultRowHeight="16" x14ac:dyDescent="0.2"/>
  <cols>
    <col min="2" max="2" width="14" customWidth="1"/>
    <col min="3" max="3" width="19.83203125" customWidth="1"/>
    <col min="5" max="5" width="15.1640625" customWidth="1"/>
    <col min="6" max="6" width="17.5" customWidth="1"/>
    <col min="7" max="7" width="22.33203125" customWidth="1"/>
    <col min="8" max="8" width="15.1640625" customWidth="1"/>
    <col min="9" max="9" width="15.5" customWidth="1"/>
  </cols>
  <sheetData>
    <row r="1" spans="1:9" x14ac:dyDescent="0.2">
      <c r="A1" t="s">
        <v>0</v>
      </c>
      <c r="B1" t="s">
        <v>1</v>
      </c>
      <c r="C1" t="s">
        <v>2</v>
      </c>
      <c r="D1" t="s">
        <v>3</v>
      </c>
      <c r="E1" t="s">
        <v>4</v>
      </c>
      <c r="F1" t="s">
        <v>5</v>
      </c>
      <c r="G1" t="s">
        <v>6</v>
      </c>
      <c r="H1" t="s">
        <v>7</v>
      </c>
      <c r="I1" t="s">
        <v>8</v>
      </c>
    </row>
    <row r="2" spans="1:9" x14ac:dyDescent="0.2">
      <c r="A2" t="s">
        <v>15</v>
      </c>
      <c r="B2" t="s">
        <v>10</v>
      </c>
      <c r="C2">
        <v>60</v>
      </c>
      <c r="D2">
        <v>6</v>
      </c>
      <c r="E2">
        <f>C2*D2</f>
        <v>360</v>
      </c>
      <c r="F2">
        <v>8</v>
      </c>
      <c r="G2">
        <f>(E2/F2)*10</f>
        <v>450</v>
      </c>
      <c r="H2">
        <v>9</v>
      </c>
      <c r="I2" t="str">
        <f>IF(E2&gt;600,"High",IF(E2&gt;300,"Moderate","Low"))</f>
        <v>Moderate</v>
      </c>
    </row>
    <row r="3" spans="1:9" x14ac:dyDescent="0.2">
      <c r="A3" t="s">
        <v>16</v>
      </c>
      <c r="B3" t="s">
        <v>10</v>
      </c>
      <c r="C3">
        <v>60</v>
      </c>
      <c r="D3">
        <v>7</v>
      </c>
      <c r="E3">
        <f t="shared" ref="E3:E26" si="0">C3*D3</f>
        <v>420</v>
      </c>
      <c r="F3">
        <v>7.5</v>
      </c>
      <c r="G3">
        <f t="shared" ref="G3:G26" si="1">(E3/F3)*10</f>
        <v>560</v>
      </c>
      <c r="H3">
        <v>11</v>
      </c>
      <c r="I3" t="str">
        <f t="shared" ref="I3:I26" si="2">IF(E3&gt;600,"High",IF(E3&gt;300,"Moderate","Low"))</f>
        <v>Moderate</v>
      </c>
    </row>
    <row r="4" spans="1:9" x14ac:dyDescent="0.2">
      <c r="A4" t="s">
        <v>15</v>
      </c>
      <c r="B4" t="s">
        <v>11</v>
      </c>
      <c r="C4">
        <v>50</v>
      </c>
      <c r="D4">
        <v>6</v>
      </c>
      <c r="E4">
        <f t="shared" si="0"/>
        <v>300</v>
      </c>
      <c r="F4">
        <v>7.5</v>
      </c>
      <c r="G4">
        <f t="shared" si="1"/>
        <v>400</v>
      </c>
      <c r="H4">
        <v>10</v>
      </c>
      <c r="I4" t="str">
        <f t="shared" si="2"/>
        <v>Low</v>
      </c>
    </row>
    <row r="5" spans="1:9" x14ac:dyDescent="0.2">
      <c r="A5" t="s">
        <v>16</v>
      </c>
      <c r="B5" t="s">
        <v>11</v>
      </c>
      <c r="C5">
        <v>45</v>
      </c>
      <c r="D5">
        <v>6</v>
      </c>
      <c r="E5">
        <f t="shared" si="0"/>
        <v>270</v>
      </c>
      <c r="F5">
        <v>7</v>
      </c>
      <c r="G5">
        <f t="shared" si="1"/>
        <v>385.71428571428567</v>
      </c>
      <c r="H5">
        <v>10</v>
      </c>
      <c r="I5" t="str">
        <f t="shared" si="2"/>
        <v>Low</v>
      </c>
    </row>
    <row r="6" spans="1:9" x14ac:dyDescent="0.2">
      <c r="A6" t="s">
        <v>15</v>
      </c>
      <c r="B6" t="s">
        <v>12</v>
      </c>
      <c r="C6">
        <v>70</v>
      </c>
      <c r="D6">
        <v>8</v>
      </c>
      <c r="E6">
        <f t="shared" si="0"/>
        <v>560</v>
      </c>
      <c r="F6">
        <v>6.5</v>
      </c>
      <c r="G6">
        <f t="shared" si="1"/>
        <v>861.53846153846166</v>
      </c>
      <c r="H6">
        <v>15</v>
      </c>
      <c r="I6" t="str">
        <f t="shared" si="2"/>
        <v>Moderate</v>
      </c>
    </row>
    <row r="7" spans="1:9" x14ac:dyDescent="0.2">
      <c r="A7" t="s">
        <v>16</v>
      </c>
      <c r="B7" t="s">
        <v>12</v>
      </c>
      <c r="C7">
        <v>75</v>
      </c>
      <c r="D7">
        <v>8</v>
      </c>
      <c r="E7">
        <f t="shared" si="0"/>
        <v>600</v>
      </c>
      <c r="F7">
        <v>6</v>
      </c>
      <c r="G7">
        <f t="shared" si="1"/>
        <v>1000</v>
      </c>
      <c r="H7">
        <v>16</v>
      </c>
      <c r="I7" t="str">
        <f t="shared" si="2"/>
        <v>Moderate</v>
      </c>
    </row>
    <row r="8" spans="1:9" x14ac:dyDescent="0.2">
      <c r="A8" t="s">
        <v>15</v>
      </c>
      <c r="B8" t="s">
        <v>14</v>
      </c>
      <c r="C8">
        <v>30</v>
      </c>
      <c r="D8">
        <v>3</v>
      </c>
      <c r="E8">
        <f t="shared" si="0"/>
        <v>90</v>
      </c>
      <c r="F8">
        <v>9</v>
      </c>
      <c r="G8">
        <f t="shared" si="1"/>
        <v>100</v>
      </c>
      <c r="H8">
        <v>5</v>
      </c>
      <c r="I8" t="str">
        <f t="shared" si="2"/>
        <v>Low</v>
      </c>
    </row>
    <row r="9" spans="1:9" x14ac:dyDescent="0.2">
      <c r="A9" t="s">
        <v>16</v>
      </c>
      <c r="B9" t="s">
        <v>14</v>
      </c>
      <c r="C9">
        <v>30</v>
      </c>
      <c r="D9">
        <v>3</v>
      </c>
      <c r="E9">
        <f t="shared" si="0"/>
        <v>90</v>
      </c>
      <c r="F9">
        <v>8.5</v>
      </c>
      <c r="G9">
        <f t="shared" si="1"/>
        <v>105.88235294117646</v>
      </c>
      <c r="H9">
        <v>6</v>
      </c>
      <c r="I9" t="str">
        <f t="shared" si="2"/>
        <v>Low</v>
      </c>
    </row>
    <row r="10" spans="1:9" x14ac:dyDescent="0.2">
      <c r="A10" t="s">
        <v>15</v>
      </c>
      <c r="B10" t="s">
        <v>10</v>
      </c>
      <c r="C10">
        <v>65</v>
      </c>
      <c r="D10">
        <v>7</v>
      </c>
      <c r="E10">
        <f t="shared" si="0"/>
        <v>455</v>
      </c>
      <c r="F10">
        <v>7.5</v>
      </c>
      <c r="G10">
        <f t="shared" si="1"/>
        <v>606.66666666666663</v>
      </c>
      <c r="H10">
        <v>11</v>
      </c>
      <c r="I10" t="str">
        <f t="shared" si="2"/>
        <v>Moderate</v>
      </c>
    </row>
    <row r="11" spans="1:9" x14ac:dyDescent="0.2">
      <c r="A11" t="s">
        <v>16</v>
      </c>
      <c r="B11" t="s">
        <v>10</v>
      </c>
      <c r="C11">
        <v>60</v>
      </c>
      <c r="D11">
        <v>7</v>
      </c>
      <c r="E11">
        <f t="shared" si="0"/>
        <v>420</v>
      </c>
      <c r="F11">
        <v>7</v>
      </c>
      <c r="G11">
        <f t="shared" si="1"/>
        <v>600</v>
      </c>
      <c r="H11">
        <v>12</v>
      </c>
      <c r="I11" t="str">
        <f t="shared" si="2"/>
        <v>Moderate</v>
      </c>
    </row>
    <row r="12" spans="1:9" x14ac:dyDescent="0.2">
      <c r="A12" t="s">
        <v>15</v>
      </c>
      <c r="B12" t="s">
        <v>13</v>
      </c>
      <c r="C12">
        <v>90</v>
      </c>
      <c r="D12">
        <v>9</v>
      </c>
      <c r="E12">
        <f t="shared" si="0"/>
        <v>810</v>
      </c>
      <c r="F12">
        <v>6</v>
      </c>
      <c r="G12">
        <f t="shared" si="1"/>
        <v>1350</v>
      </c>
      <c r="H12">
        <v>19</v>
      </c>
      <c r="I12" t="str">
        <f t="shared" si="2"/>
        <v>High</v>
      </c>
    </row>
    <row r="13" spans="1:9" x14ac:dyDescent="0.2">
      <c r="A13" t="s">
        <v>16</v>
      </c>
      <c r="B13" t="s">
        <v>13</v>
      </c>
      <c r="C13">
        <v>92</v>
      </c>
      <c r="D13">
        <v>9</v>
      </c>
      <c r="E13">
        <f t="shared" si="0"/>
        <v>828</v>
      </c>
      <c r="F13">
        <v>5.5</v>
      </c>
      <c r="G13">
        <f t="shared" si="1"/>
        <v>1505.4545454545453</v>
      </c>
      <c r="H13">
        <v>20</v>
      </c>
      <c r="I13" t="str">
        <f t="shared" si="2"/>
        <v>High</v>
      </c>
    </row>
    <row r="14" spans="1:9" x14ac:dyDescent="0.2">
      <c r="A14" t="s">
        <v>15</v>
      </c>
      <c r="B14" t="s">
        <v>14</v>
      </c>
      <c r="C14">
        <v>30</v>
      </c>
      <c r="D14">
        <v>2</v>
      </c>
      <c r="E14">
        <f t="shared" si="0"/>
        <v>60</v>
      </c>
      <c r="F14">
        <v>9</v>
      </c>
      <c r="G14">
        <f t="shared" si="1"/>
        <v>66.666666666666671</v>
      </c>
      <c r="H14">
        <v>6</v>
      </c>
      <c r="I14" t="str">
        <f t="shared" si="2"/>
        <v>Low</v>
      </c>
    </row>
    <row r="15" spans="1:9" x14ac:dyDescent="0.2">
      <c r="A15" t="s">
        <v>16</v>
      </c>
      <c r="B15" t="s">
        <v>14</v>
      </c>
      <c r="C15">
        <v>30</v>
      </c>
      <c r="D15">
        <v>2</v>
      </c>
      <c r="E15">
        <f t="shared" si="0"/>
        <v>60</v>
      </c>
      <c r="F15">
        <v>8.5</v>
      </c>
      <c r="G15">
        <f t="shared" si="1"/>
        <v>70.588235294117652</v>
      </c>
      <c r="H15">
        <v>7</v>
      </c>
      <c r="I15" t="str">
        <f t="shared" si="2"/>
        <v>Low</v>
      </c>
    </row>
    <row r="16" spans="1:9" x14ac:dyDescent="0.2">
      <c r="A16" t="s">
        <v>15</v>
      </c>
      <c r="B16" t="s">
        <v>11</v>
      </c>
      <c r="C16">
        <v>45</v>
      </c>
      <c r="D16">
        <v>5</v>
      </c>
      <c r="E16">
        <f t="shared" si="0"/>
        <v>225</v>
      </c>
      <c r="F16">
        <v>8</v>
      </c>
      <c r="G16">
        <f t="shared" si="1"/>
        <v>281.25</v>
      </c>
      <c r="H16">
        <v>8</v>
      </c>
      <c r="I16" t="str">
        <f t="shared" si="2"/>
        <v>Low</v>
      </c>
    </row>
    <row r="17" spans="1:9" x14ac:dyDescent="0.2">
      <c r="A17" t="s">
        <v>16</v>
      </c>
      <c r="B17" t="s">
        <v>11</v>
      </c>
      <c r="C17">
        <v>50</v>
      </c>
      <c r="D17">
        <v>6</v>
      </c>
      <c r="E17">
        <f t="shared" si="0"/>
        <v>300</v>
      </c>
      <c r="F17">
        <v>7.5</v>
      </c>
      <c r="G17">
        <f t="shared" si="1"/>
        <v>400</v>
      </c>
      <c r="H17">
        <v>10</v>
      </c>
      <c r="I17" t="str">
        <f t="shared" si="2"/>
        <v>Low</v>
      </c>
    </row>
    <row r="18" spans="1:9" x14ac:dyDescent="0.2">
      <c r="A18" t="s">
        <v>15</v>
      </c>
      <c r="B18" t="s">
        <v>10</v>
      </c>
      <c r="C18">
        <v>60</v>
      </c>
      <c r="D18">
        <v>7</v>
      </c>
      <c r="E18">
        <f t="shared" si="0"/>
        <v>420</v>
      </c>
      <c r="F18">
        <v>7.5</v>
      </c>
      <c r="G18">
        <f t="shared" si="1"/>
        <v>560</v>
      </c>
      <c r="H18">
        <v>11</v>
      </c>
      <c r="I18" t="str">
        <f t="shared" si="2"/>
        <v>Moderate</v>
      </c>
    </row>
    <row r="19" spans="1:9" x14ac:dyDescent="0.2">
      <c r="A19" t="s">
        <v>16</v>
      </c>
      <c r="B19" t="s">
        <v>10</v>
      </c>
      <c r="C19">
        <v>65</v>
      </c>
      <c r="D19">
        <v>7</v>
      </c>
      <c r="E19">
        <f t="shared" si="0"/>
        <v>455</v>
      </c>
      <c r="F19">
        <v>7</v>
      </c>
      <c r="G19">
        <f t="shared" si="1"/>
        <v>650</v>
      </c>
      <c r="H19">
        <v>12</v>
      </c>
      <c r="I19" t="str">
        <f t="shared" si="2"/>
        <v>Moderate</v>
      </c>
    </row>
    <row r="20" spans="1:9" x14ac:dyDescent="0.2">
      <c r="A20" t="s">
        <v>15</v>
      </c>
      <c r="B20" t="s">
        <v>12</v>
      </c>
      <c r="C20">
        <v>75</v>
      </c>
      <c r="D20">
        <v>8</v>
      </c>
      <c r="E20">
        <f t="shared" si="0"/>
        <v>600</v>
      </c>
      <c r="F20">
        <v>6.5</v>
      </c>
      <c r="G20">
        <f t="shared" si="1"/>
        <v>923.07692307692309</v>
      </c>
      <c r="H20">
        <v>16</v>
      </c>
      <c r="I20" t="str">
        <f t="shared" si="2"/>
        <v>Moderate</v>
      </c>
    </row>
    <row r="21" spans="1:9" x14ac:dyDescent="0.2">
      <c r="A21" t="s">
        <v>16</v>
      </c>
      <c r="B21" t="s">
        <v>12</v>
      </c>
      <c r="C21">
        <v>80</v>
      </c>
      <c r="D21">
        <v>8</v>
      </c>
      <c r="E21">
        <f t="shared" si="0"/>
        <v>640</v>
      </c>
      <c r="F21">
        <v>6</v>
      </c>
      <c r="G21">
        <f t="shared" si="1"/>
        <v>1066.6666666666667</v>
      </c>
      <c r="H21">
        <v>17</v>
      </c>
      <c r="I21" t="str">
        <f t="shared" si="2"/>
        <v>High</v>
      </c>
    </row>
    <row r="22" spans="1:9" x14ac:dyDescent="0.2">
      <c r="A22" t="s">
        <v>15</v>
      </c>
      <c r="B22" t="s">
        <v>14</v>
      </c>
      <c r="C22">
        <v>30</v>
      </c>
      <c r="D22">
        <v>3</v>
      </c>
      <c r="E22">
        <f t="shared" si="0"/>
        <v>90</v>
      </c>
      <c r="F22">
        <v>9</v>
      </c>
      <c r="G22">
        <f t="shared" si="1"/>
        <v>100</v>
      </c>
      <c r="H22">
        <v>5</v>
      </c>
      <c r="I22" t="str">
        <f t="shared" si="2"/>
        <v>Low</v>
      </c>
    </row>
    <row r="23" spans="1:9" x14ac:dyDescent="0.2">
      <c r="A23" t="s">
        <v>16</v>
      </c>
      <c r="B23" t="s">
        <v>14</v>
      </c>
      <c r="C23">
        <v>30</v>
      </c>
      <c r="D23">
        <v>3</v>
      </c>
      <c r="E23">
        <f t="shared" si="0"/>
        <v>90</v>
      </c>
      <c r="F23">
        <v>8.5</v>
      </c>
      <c r="G23">
        <f t="shared" si="1"/>
        <v>105.88235294117646</v>
      </c>
      <c r="H23">
        <v>6</v>
      </c>
      <c r="I23" t="str">
        <f t="shared" si="2"/>
        <v>Low</v>
      </c>
    </row>
    <row r="24" spans="1:9" x14ac:dyDescent="0.2">
      <c r="A24" t="s">
        <v>15</v>
      </c>
      <c r="B24" t="s">
        <v>13</v>
      </c>
      <c r="C24">
        <v>95</v>
      </c>
      <c r="D24">
        <v>9</v>
      </c>
      <c r="E24">
        <f t="shared" si="0"/>
        <v>855</v>
      </c>
      <c r="F24">
        <v>6</v>
      </c>
      <c r="G24">
        <f t="shared" si="1"/>
        <v>1425</v>
      </c>
      <c r="H24">
        <v>20</v>
      </c>
      <c r="I24" t="str">
        <f t="shared" si="2"/>
        <v>High</v>
      </c>
    </row>
    <row r="25" spans="1:9" x14ac:dyDescent="0.2">
      <c r="A25" t="s">
        <v>16</v>
      </c>
      <c r="B25" t="s">
        <v>13</v>
      </c>
      <c r="C25">
        <v>90</v>
      </c>
      <c r="D25">
        <v>9</v>
      </c>
      <c r="E25">
        <f t="shared" si="0"/>
        <v>810</v>
      </c>
      <c r="F25">
        <v>5.5</v>
      </c>
      <c r="G25">
        <f t="shared" si="1"/>
        <v>1472.7272727272727</v>
      </c>
      <c r="H25">
        <v>21</v>
      </c>
      <c r="I25" t="str">
        <f t="shared" si="2"/>
        <v>High</v>
      </c>
    </row>
    <row r="26" spans="1:9" x14ac:dyDescent="0.2">
      <c r="A26" t="s">
        <v>15</v>
      </c>
      <c r="B26" t="s">
        <v>14</v>
      </c>
      <c r="C26">
        <v>30</v>
      </c>
      <c r="D26">
        <v>2</v>
      </c>
      <c r="E26">
        <f t="shared" si="0"/>
        <v>60</v>
      </c>
      <c r="F26">
        <v>9</v>
      </c>
      <c r="G26">
        <f t="shared" si="1"/>
        <v>66.666666666666671</v>
      </c>
      <c r="H26">
        <v>6</v>
      </c>
      <c r="I26" t="str">
        <f t="shared" si="2"/>
        <v>Low</v>
      </c>
    </row>
  </sheetData>
  <conditionalFormatting sqref="I2:I26">
    <cfRule type="containsText" dxfId="2" priority="1" operator="containsText" text="Low">
      <formula>NOT(ISERROR(SEARCH("Low",I2)))</formula>
    </cfRule>
    <cfRule type="containsText" dxfId="1" priority="2" operator="containsText" text="Moderate">
      <formula>NOT(ISERROR(SEARCH("Moderate",I2)))</formula>
    </cfRule>
    <cfRule type="containsText" dxfId="0" priority="3" operator="containsText" text="High">
      <formula>NOT(ISERROR(SEARCH("High",I2)))</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996A3A1-02EB-2442-995E-5CD1ED5667D1}">
          <x14:formula1>
            <xm:f>Ranges!$A$1:$A$6</xm:f>
          </x14:formula1>
          <xm:sqref>B2:B36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3DE43-2A6B-EF44-ADFD-AE6ECF98A954}">
  <dimension ref="A1:A6"/>
  <sheetViews>
    <sheetView workbookViewId="0">
      <selection sqref="A1:A6"/>
    </sheetView>
  </sheetViews>
  <sheetFormatPr baseColWidth="10" defaultRowHeight="16" x14ac:dyDescent="0.2"/>
  <cols>
    <col min="1" max="1" width="18.83203125" customWidth="1"/>
  </cols>
  <sheetData>
    <row r="1" spans="1:1" x14ac:dyDescent="0.2">
      <c r="A1" t="s">
        <v>9</v>
      </c>
    </row>
    <row r="2" spans="1:1" x14ac:dyDescent="0.2">
      <c r="A2" t="s">
        <v>10</v>
      </c>
    </row>
    <row r="3" spans="1:1" x14ac:dyDescent="0.2">
      <c r="A3" t="s">
        <v>11</v>
      </c>
    </row>
    <row r="4" spans="1:1" x14ac:dyDescent="0.2">
      <c r="A4" t="s">
        <v>12</v>
      </c>
    </row>
    <row r="5" spans="1:1" x14ac:dyDescent="0.2">
      <c r="A5" t="s">
        <v>13</v>
      </c>
    </row>
    <row r="6" spans="1:1" x14ac:dyDescent="0.2">
      <c r="A6"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C2AE1-BB59-A343-9A7A-52CB8E562419}">
  <dimension ref="A1"/>
  <sheetViews>
    <sheetView showGridLines="0" tabSelected="1" zoomScale="60" workbookViewId="0">
      <selection activeCell="L43" sqref="L43"/>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EB56-2FA1-BA40-ACDC-5495D4097E64}">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PivotTable</vt:lpstr>
      <vt:lpstr>Data</vt:lpstr>
      <vt:lpstr>Ranges</vt:lpstr>
      <vt:lpstr>Dashboard</vt:lpstr>
      <vt:lpstr>Calculator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Brooklyn Anderson</dc:creator>
  <cp:lastModifiedBy>Brooklyn Anderson</cp:lastModifiedBy>
  <dcterms:created xsi:type="dcterms:W3CDTF">2026-04-07T22:43:37Z</dcterms:created>
  <dcterms:modified xsi:type="dcterms:W3CDTF">2026-04-08T00:59:21Z</dcterms:modified>
</cp:coreProperties>
</file>